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chidayuna/Desktop/yunacafe/"/>
    </mc:Choice>
  </mc:AlternateContent>
  <xr:revisionPtr revIDLastSave="0" documentId="8_{850B604F-093A-6E4C-B2EB-7EE3057002D3}" xr6:coauthVersionLast="47" xr6:coauthVersionMax="47" xr10:uidLastSave="{00000000-0000-0000-0000-000000000000}"/>
  <bookViews>
    <workbookView xWindow="0" yWindow="720" windowWidth="29400" windowHeight="18400" xr2:uid="{C3B42133-BEA1-A641-A911-B8CC1684943F}"/>
  </bookViews>
  <sheets>
    <sheet name="Sheet1" sheetId="1" r:id="rId1"/>
  </sheets>
  <definedNames>
    <definedName name="_xlnm._FilterDatabase" localSheetId="0" hidden="1">Sheet1!$E$43:$F$77</definedName>
    <definedName name="_xlchart.v1.0" hidden="1">Sheet1!$Q$42:$Q$44</definedName>
    <definedName name="_xlchart.v1.1" hidden="1">Sheet1!$R$42:$R$44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8" i="1" l="1"/>
  <c r="Q47" i="1"/>
  <c r="R44" i="1"/>
  <c r="R43" i="1"/>
  <c r="R42" i="1"/>
  <c r="J48" i="1"/>
  <c r="J49" i="1"/>
  <c r="J47" i="1"/>
</calcChain>
</file>

<file path=xl/sharedStrings.xml><?xml version="1.0" encoding="utf-8"?>
<sst xmlns="http://schemas.openxmlformats.org/spreadsheetml/2006/main" count="402" uniqueCount="86">
  <si>
    <t>杉澤柚妃</t>
  </si>
  <si>
    <t>あ</t>
  </si>
  <si>
    <t>天気が変わりやすい</t>
  </si>
  <si>
    <t>まあまあ使ってみたいと思う</t>
  </si>
  <si>
    <t>興味を持たなかった</t>
  </si>
  <si>
    <t>内田優渚</t>
  </si>
  <si>
    <t>月に1回以上</t>
  </si>
  <si>
    <t>情報が多すぎて選べない, お店の雰囲気が事前にわからない, 勉強会・オタ活など用途別に選べない</t>
  </si>
  <si>
    <t>～1時間</t>
  </si>
  <si>
    <t>とても使ってみたいと思う</t>
  </si>
  <si>
    <t>いいねした投稿をマイページで確認できる機能, いいね数ランキング順に投稿を表示できる機能</t>
  </si>
  <si>
    <t>岩﨑</t>
  </si>
  <si>
    <t>週に1回以上</t>
  </si>
  <si>
    <t>勉強会・オタ活など用途別に選べない, 新しいお店に挑戦しずらい</t>
  </si>
  <si>
    <t>～10分</t>
  </si>
  <si>
    <t>使ってみたいと思う</t>
  </si>
  <si>
    <t>いいねした投稿をマイページで確認できる機能</t>
  </si>
  <si>
    <t>内田ももな</t>
  </si>
  <si>
    <t>お店の雰囲気が事前にわからない</t>
  </si>
  <si>
    <t>～30分</t>
  </si>
  <si>
    <t>いいねした投稿をマイページで確認できる機能, いいね数ランキング順に投稿を表示できる機能, 投稿に対して感想などをコメントできる機能</t>
  </si>
  <si>
    <t>小澤知穂</t>
  </si>
  <si>
    <t>お店の雰囲気が事前にわからない, 新しいお店に挑戦しずらい</t>
  </si>
  <si>
    <t>篠原琴子</t>
  </si>
  <si>
    <t>ほとんど行かない</t>
  </si>
  <si>
    <t>新しいお店に挑戦しずらい</t>
  </si>
  <si>
    <t>少し気になる</t>
  </si>
  <si>
    <t>東海大学</t>
  </si>
  <si>
    <t>農学部農学科</t>
  </si>
  <si>
    <t>27卒(学部3年,院1年)</t>
  </si>
  <si>
    <t>確認しました！</t>
  </si>
  <si>
    <t>いいね数ランキング順に投稿を表示できる機能</t>
  </si>
  <si>
    <t>泉璃音</t>
  </si>
  <si>
    <t>3ヶ月に1回以上</t>
  </si>
  <si>
    <t>清藤望幹</t>
  </si>
  <si>
    <t>情報が多すぎて選べない</t>
  </si>
  <si>
    <t>投稿に対して感想などをコメントできる機能</t>
  </si>
  <si>
    <t>五十嵐恵里</t>
  </si>
  <si>
    <t>お店の雰囲気が事前にわからない, 勉強会・オタ活など用途別に選べない, 新しいお店に挑戦しずらい</t>
  </si>
  <si>
    <t>増谷未帆</t>
  </si>
  <si>
    <t>奥田理紗子</t>
  </si>
  <si>
    <t>情報が多すぎて選べない, 新しいお店に挑戦しずらい</t>
  </si>
  <si>
    <t>前田渚</t>
  </si>
  <si>
    <t>久下美空</t>
  </si>
  <si>
    <t>庄司ほのか</t>
  </si>
  <si>
    <t>浅川万葉</t>
  </si>
  <si>
    <t>佐々木梨愛</t>
  </si>
  <si>
    <t>勉強会・オタ活など用途別に選べない</t>
  </si>
  <si>
    <t>石井咲良</t>
  </si>
  <si>
    <t>鹿嶋優来</t>
  </si>
  <si>
    <t>古矢琉翔</t>
  </si>
  <si>
    <t>森本早咲</t>
  </si>
  <si>
    <t>少し興味がある</t>
  </si>
  <si>
    <t>早稲田大学</t>
  </si>
  <si>
    <t>人間科学部人間環境</t>
  </si>
  <si>
    <t>甲斐田千紘</t>
  </si>
  <si>
    <t>情報が多すぎて選べない, お店の雰囲気が事前にわからない</t>
  </si>
  <si>
    <t>いいねした投稿をマイページで確認できる機能, 投稿に対して感想などをコメントできる機能</t>
  </si>
  <si>
    <t>中平怜花</t>
  </si>
  <si>
    <t>岩瀬彩</t>
  </si>
  <si>
    <t>心唯</t>
  </si>
  <si>
    <t>跡部瑠里</t>
  </si>
  <si>
    <t>半年に1回以上</t>
  </si>
  <si>
    <t>阪本紗枝</t>
  </si>
  <si>
    <t>古賀佑希奈</t>
  </si>
  <si>
    <t>美味しいかどうか</t>
  </si>
  <si>
    <t>両角朱莉</t>
  </si>
  <si>
    <t>あまり使ってみたいと思わない</t>
  </si>
  <si>
    <t>今村愛梨</t>
  </si>
  <si>
    <t>まほ</t>
  </si>
  <si>
    <t>亀川真帆</t>
  </si>
  <si>
    <t>中村学園大学</t>
  </si>
  <si>
    <t>栄養科学部栄養科学科</t>
  </si>
  <si>
    <t>相浦幸桜</t>
  </si>
  <si>
    <t>角田三奈</t>
  </si>
  <si>
    <t>かな</t>
  </si>
  <si>
    <t>田中彩愛</t>
  </si>
  <si>
    <t>千田咲弥花</t>
  </si>
  <si>
    <t>名前</t>
    <rPh sb="0" eb="2">
      <t>ナマエ</t>
    </rPh>
    <phoneticPr fontId="3"/>
  </si>
  <si>
    <t>時間</t>
    <rPh sb="0" eb="2">
      <t>ジカn</t>
    </rPh>
    <phoneticPr fontId="3"/>
  </si>
  <si>
    <t>〜１０分</t>
    <phoneticPr fontId="3"/>
  </si>
  <si>
    <t>〜１時間</t>
    <phoneticPr fontId="3"/>
  </si>
  <si>
    <t>〜３０分</t>
    <rPh sb="3" eb="4">
      <t>フン</t>
    </rPh>
    <phoneticPr fontId="3"/>
  </si>
  <si>
    <t>まあまあ使ってみたいと思う</t>
    <phoneticPr fontId="3"/>
  </si>
  <si>
    <t>とても使ってみたいと思う</t>
    <rPh sb="3" eb="4">
      <t>ツカッテ</t>
    </rPh>
    <phoneticPr fontId="3"/>
  </si>
  <si>
    <t>使ってみたいと思う</t>
    <rPh sb="0" eb="1">
      <t>ツカッテ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</si>
</sst>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2" fillId="0" borderId="0" xfId="0" applyNumberFormat="1" applyFont="1">
      <alignment vertical="center"/>
    </xf>
    <xf numFmtId="0" fontId="2" fillId="0" borderId="0" xfId="0" applyFont="1">
      <alignment vertical="center"/>
    </xf>
    <xf numFmtId="9" fontId="0" fillId="0" borderId="0" xfId="1" applyFon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Sheet1!$I$47:$I$49</c:f>
              <c:strCache>
                <c:ptCount val="3"/>
                <c:pt idx="0">
                  <c:v>〜１０分</c:v>
                </c:pt>
                <c:pt idx="1">
                  <c:v>〜３０分</c:v>
                </c:pt>
                <c:pt idx="2">
                  <c:v>〜１時間</c:v>
                </c:pt>
              </c:strCache>
            </c:strRef>
          </c:cat>
          <c:val>
            <c:numRef>
              <c:f>Sheet1!$J$47:$J$49</c:f>
              <c:numCache>
                <c:formatCode>General</c:formatCode>
                <c:ptCount val="3"/>
                <c:pt idx="0">
                  <c:v>13</c:v>
                </c:pt>
                <c:pt idx="1">
                  <c:v>16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2-244E-82E2-79B79515C44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BF-F043-85D9-D0AD380CCA7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8BF-F043-85D9-D0AD380CCA7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BF-F043-85D9-D0AD380CCA74}"/>
              </c:ext>
            </c:extLst>
          </c:dPt>
          <c:dLbls>
            <c:dLbl>
              <c:idx val="0"/>
              <c:layout>
                <c:manualLayout>
                  <c:x val="-0.14445177689734881"/>
                  <c:y val="-0.1406331272557096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ja-JP" baseline="0"/>
                      <a:t>
</a:t>
                    </a:r>
                    <a:fld id="{ECB048B5-D9A4-9B40-A51B-4A2AAF521153}" type="PERCENTAGE">
                      <a:rPr lang="en-US" altLang="ja-JP" baseline="0"/>
                      <a:pPr>
                        <a:defRPr/>
                      </a:pPr>
                      <a:t>[パーセンテージ]</a:t>
                    </a:fld>
                    <a:endParaRPr lang="en-US" altLang="ja-JP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999515503981944"/>
                      <c:h val="0.2321108008919244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8BF-F043-85D9-D0AD380CCA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Sheet1!$Q$42:$Q$44</c:f>
              <c:strCache>
                <c:ptCount val="3"/>
                <c:pt idx="0">
                  <c:v>とても使ってみたいと思う</c:v>
                </c:pt>
                <c:pt idx="1">
                  <c:v>使ってみたいと思う</c:v>
                </c:pt>
                <c:pt idx="2">
                  <c:v>まあまあ使ってみたいと思う</c:v>
                </c:pt>
              </c:strCache>
            </c:strRef>
          </c:cat>
          <c:val>
            <c:numRef>
              <c:f>Sheet1!$R$42:$R$44</c:f>
              <c:numCache>
                <c:formatCode>General</c:formatCode>
                <c:ptCount val="3"/>
                <c:pt idx="0">
                  <c:v>20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F-F043-85D9-D0AD380CCA7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50</xdr:row>
      <xdr:rowOff>222250</xdr:rowOff>
    </xdr:from>
    <xdr:to>
      <xdr:col>11</xdr:col>
      <xdr:colOff>247650</xdr:colOff>
      <xdr:row>61</xdr:row>
      <xdr:rowOff>171450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A41CB0F-4C58-9403-607C-6345DFB70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368300</xdr:colOff>
      <xdr:row>49</xdr:row>
      <xdr:rowOff>171450</xdr:rowOff>
    </xdr:from>
    <xdr:to>
      <xdr:col>18</xdr:col>
      <xdr:colOff>914400</xdr:colOff>
      <xdr:row>60</xdr:row>
      <xdr:rowOff>120650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3F8B634-2D14-9636-C587-343488B78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18FE-A222-B142-8298-97A1A7E80FA9}">
  <dimension ref="B4:R77"/>
  <sheetViews>
    <sheetView tabSelected="1" topLeftCell="K42" zoomScale="159" workbookViewId="0">
      <selection activeCell="R48" sqref="R48"/>
    </sheetView>
  </sheetViews>
  <sheetFormatPr baseColWidth="10" defaultRowHeight="20"/>
  <cols>
    <col min="17" max="17" width="23.85546875" customWidth="1"/>
  </cols>
  <sheetData>
    <row r="4" spans="2:15">
      <c r="B4" s="1">
        <v>46011.629849537036</v>
      </c>
      <c r="C4" s="2" t="s">
        <v>0</v>
      </c>
      <c r="D4" s="2" t="s">
        <v>1</v>
      </c>
      <c r="E4" s="2">
        <v>2</v>
      </c>
      <c r="F4" s="2" t="s">
        <v>2</v>
      </c>
      <c r="G4" s="2" t="s">
        <v>3</v>
      </c>
      <c r="H4" s="2" t="s">
        <v>4</v>
      </c>
      <c r="I4" s="2" t="s">
        <v>4</v>
      </c>
      <c r="J4" s="2"/>
      <c r="K4" s="2"/>
      <c r="L4" s="2"/>
      <c r="M4" s="2"/>
      <c r="N4" s="2"/>
      <c r="O4" s="2"/>
    </row>
    <row r="5" spans="2:15">
      <c r="B5" s="1">
        <v>46013.587893518517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4</v>
      </c>
      <c r="I5" s="2" t="s">
        <v>4</v>
      </c>
      <c r="J5" s="2"/>
      <c r="K5" s="2"/>
      <c r="L5" s="2"/>
      <c r="M5" s="2"/>
      <c r="N5" s="2"/>
      <c r="O5" s="2" t="s">
        <v>10</v>
      </c>
    </row>
    <row r="6" spans="2:15">
      <c r="B6" s="1">
        <v>46013.59679398148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4</v>
      </c>
      <c r="I6" s="2" t="s">
        <v>4</v>
      </c>
      <c r="J6" s="2"/>
      <c r="K6" s="2"/>
      <c r="L6" s="2"/>
      <c r="M6" s="2"/>
      <c r="N6" s="2"/>
      <c r="O6" s="2" t="s">
        <v>16</v>
      </c>
    </row>
    <row r="7" spans="2:15">
      <c r="B7" s="1">
        <v>46013.61042824074</v>
      </c>
      <c r="C7" s="2" t="s">
        <v>17</v>
      </c>
      <c r="D7" s="2" t="s">
        <v>6</v>
      </c>
      <c r="E7" s="2" t="s">
        <v>18</v>
      </c>
      <c r="F7" s="2" t="s">
        <v>19</v>
      </c>
      <c r="G7" s="2" t="s">
        <v>9</v>
      </c>
      <c r="H7" s="2" t="s">
        <v>4</v>
      </c>
      <c r="I7" s="2" t="s">
        <v>4</v>
      </c>
      <c r="J7" s="2"/>
      <c r="K7" s="2"/>
      <c r="L7" s="2"/>
      <c r="M7" s="2"/>
      <c r="N7" s="2"/>
      <c r="O7" s="2" t="s">
        <v>20</v>
      </c>
    </row>
    <row r="8" spans="2:15">
      <c r="B8" s="1">
        <v>46013.613368055558</v>
      </c>
      <c r="C8" s="2" t="s">
        <v>21</v>
      </c>
      <c r="D8" s="2" t="s">
        <v>6</v>
      </c>
      <c r="E8" s="2" t="s">
        <v>22</v>
      </c>
      <c r="F8" s="2" t="s">
        <v>14</v>
      </c>
      <c r="G8" s="2" t="s">
        <v>15</v>
      </c>
      <c r="H8" s="2" t="s">
        <v>4</v>
      </c>
      <c r="I8" s="2" t="s">
        <v>4</v>
      </c>
      <c r="J8" s="2"/>
      <c r="K8" s="2"/>
      <c r="L8" s="2"/>
      <c r="M8" s="2"/>
      <c r="N8" s="2"/>
      <c r="O8" s="2" t="s">
        <v>16</v>
      </c>
    </row>
    <row r="9" spans="2:15">
      <c r="B9" s="1">
        <v>46013.615185185183</v>
      </c>
      <c r="C9" s="2" t="s">
        <v>23</v>
      </c>
      <c r="D9" s="2" t="s">
        <v>24</v>
      </c>
      <c r="E9" s="2" t="s">
        <v>25</v>
      </c>
      <c r="F9" s="2" t="s">
        <v>8</v>
      </c>
      <c r="G9" s="2" t="s">
        <v>3</v>
      </c>
      <c r="H9" s="2" t="s">
        <v>26</v>
      </c>
      <c r="I9" s="2"/>
      <c r="J9" s="2" t="s">
        <v>23</v>
      </c>
      <c r="K9" s="2" t="s">
        <v>27</v>
      </c>
      <c r="L9" s="2" t="s">
        <v>28</v>
      </c>
      <c r="M9" s="2" t="s">
        <v>29</v>
      </c>
      <c r="N9" s="2" t="s">
        <v>30</v>
      </c>
      <c r="O9" s="2" t="s">
        <v>31</v>
      </c>
    </row>
    <row r="10" spans="2:15">
      <c r="B10" s="1">
        <v>46013.655324074076</v>
      </c>
      <c r="C10" s="2" t="s">
        <v>32</v>
      </c>
      <c r="D10" s="2" t="s">
        <v>33</v>
      </c>
      <c r="E10" s="2" t="s">
        <v>18</v>
      </c>
      <c r="F10" s="2" t="s">
        <v>8</v>
      </c>
      <c r="G10" s="2" t="s">
        <v>3</v>
      </c>
      <c r="H10" s="2" t="s">
        <v>4</v>
      </c>
      <c r="I10" s="2" t="s">
        <v>4</v>
      </c>
      <c r="J10" s="2"/>
      <c r="K10" s="2"/>
      <c r="L10" s="2"/>
      <c r="M10" s="2"/>
      <c r="N10" s="2"/>
      <c r="O10" s="2" t="s">
        <v>20</v>
      </c>
    </row>
    <row r="11" spans="2:15">
      <c r="B11" s="1">
        <v>46013.661469907405</v>
      </c>
      <c r="C11" s="2" t="s">
        <v>34</v>
      </c>
      <c r="D11" s="2" t="s">
        <v>6</v>
      </c>
      <c r="E11" s="2" t="s">
        <v>35</v>
      </c>
      <c r="F11" s="2" t="s">
        <v>19</v>
      </c>
      <c r="G11" s="2" t="s">
        <v>9</v>
      </c>
      <c r="H11" s="2" t="s">
        <v>4</v>
      </c>
      <c r="I11" s="2" t="s">
        <v>4</v>
      </c>
      <c r="J11" s="2"/>
      <c r="K11" s="2"/>
      <c r="L11" s="2"/>
      <c r="M11" s="2"/>
      <c r="N11" s="2"/>
      <c r="O11" s="2" t="s">
        <v>36</v>
      </c>
    </row>
    <row r="12" spans="2:15">
      <c r="B12" s="1">
        <v>46013.677476851852</v>
      </c>
      <c r="C12" s="2" t="s">
        <v>37</v>
      </c>
      <c r="D12" s="2" t="s">
        <v>6</v>
      </c>
      <c r="E12" s="2" t="s">
        <v>38</v>
      </c>
      <c r="F12" s="2" t="s">
        <v>19</v>
      </c>
      <c r="G12" s="2" t="s">
        <v>9</v>
      </c>
      <c r="H12" s="2" t="s">
        <v>4</v>
      </c>
      <c r="I12" s="2" t="s">
        <v>4</v>
      </c>
      <c r="J12" s="2"/>
      <c r="K12" s="2"/>
      <c r="L12" s="2"/>
      <c r="M12" s="2"/>
      <c r="N12" s="2"/>
      <c r="O12" s="2" t="s">
        <v>20</v>
      </c>
    </row>
    <row r="13" spans="2:15">
      <c r="B13" s="1">
        <v>46013.700868055559</v>
      </c>
      <c r="C13" s="2" t="s">
        <v>39</v>
      </c>
      <c r="D13" s="2" t="s">
        <v>6</v>
      </c>
      <c r="E13" s="2" t="s">
        <v>18</v>
      </c>
      <c r="F13" s="2" t="s">
        <v>14</v>
      </c>
      <c r="G13" s="2" t="s">
        <v>9</v>
      </c>
      <c r="H13" s="2" t="s">
        <v>4</v>
      </c>
      <c r="I13" s="2" t="s">
        <v>4</v>
      </c>
      <c r="J13" s="2"/>
      <c r="K13" s="2"/>
      <c r="L13" s="2"/>
      <c r="M13" s="2"/>
      <c r="N13" s="2"/>
      <c r="O13" s="2" t="s">
        <v>36</v>
      </c>
    </row>
    <row r="14" spans="2:15">
      <c r="B14" s="1">
        <v>46013.706875000003</v>
      </c>
      <c r="C14" s="2" t="s">
        <v>40</v>
      </c>
      <c r="D14" s="2" t="s">
        <v>33</v>
      </c>
      <c r="E14" s="2" t="s">
        <v>41</v>
      </c>
      <c r="F14" s="2" t="s">
        <v>19</v>
      </c>
      <c r="G14" s="2" t="s">
        <v>9</v>
      </c>
      <c r="H14" s="2" t="s">
        <v>4</v>
      </c>
      <c r="I14" s="2" t="s">
        <v>4</v>
      </c>
      <c r="J14" s="2"/>
      <c r="K14" s="2"/>
      <c r="L14" s="2"/>
      <c r="M14" s="2"/>
      <c r="N14" s="2"/>
      <c r="O14" s="2" t="s">
        <v>20</v>
      </c>
    </row>
    <row r="15" spans="2:15">
      <c r="B15" s="1">
        <v>46013.73128472222</v>
      </c>
      <c r="C15" s="2" t="s">
        <v>42</v>
      </c>
      <c r="D15" s="2" t="s">
        <v>6</v>
      </c>
      <c r="E15" s="2" t="s">
        <v>25</v>
      </c>
      <c r="F15" s="2" t="s">
        <v>14</v>
      </c>
      <c r="G15" s="2" t="s">
        <v>15</v>
      </c>
      <c r="H15" s="2" t="s">
        <v>4</v>
      </c>
      <c r="I15" s="2" t="s">
        <v>4</v>
      </c>
      <c r="J15" s="2"/>
      <c r="K15" s="2"/>
      <c r="L15" s="2"/>
      <c r="M15" s="2"/>
      <c r="N15" s="2"/>
      <c r="O15" s="2" t="s">
        <v>16</v>
      </c>
    </row>
    <row r="16" spans="2:15">
      <c r="B16" s="1">
        <v>46013.815937500003</v>
      </c>
      <c r="C16" s="2" t="s">
        <v>43</v>
      </c>
      <c r="D16" s="2" t="s">
        <v>33</v>
      </c>
      <c r="E16" s="2" t="s">
        <v>35</v>
      </c>
      <c r="F16" s="2" t="s">
        <v>8</v>
      </c>
      <c r="G16" s="2" t="s">
        <v>9</v>
      </c>
      <c r="H16" s="2" t="s">
        <v>4</v>
      </c>
      <c r="I16" s="2" t="s">
        <v>4</v>
      </c>
      <c r="J16" s="2"/>
      <c r="K16" s="2"/>
      <c r="L16" s="2"/>
      <c r="M16" s="2"/>
      <c r="N16" s="2"/>
      <c r="O16" s="2" t="s">
        <v>16</v>
      </c>
    </row>
    <row r="17" spans="2:15">
      <c r="B17" s="1">
        <v>46013.816828703704</v>
      </c>
      <c r="C17" s="2" t="s">
        <v>44</v>
      </c>
      <c r="D17" s="2" t="s">
        <v>33</v>
      </c>
      <c r="E17" s="2" t="s">
        <v>25</v>
      </c>
      <c r="F17" s="2" t="s">
        <v>14</v>
      </c>
      <c r="G17" s="2" t="s">
        <v>15</v>
      </c>
      <c r="H17" s="2" t="s">
        <v>4</v>
      </c>
      <c r="I17" s="2" t="s">
        <v>4</v>
      </c>
      <c r="J17" s="2"/>
      <c r="K17" s="2"/>
      <c r="L17" s="2"/>
      <c r="M17" s="2"/>
      <c r="N17" s="2"/>
      <c r="O17" s="2" t="s">
        <v>16</v>
      </c>
    </row>
    <row r="18" spans="2:15">
      <c r="B18" s="1">
        <v>46013.916064814817</v>
      </c>
      <c r="C18" s="2" t="s">
        <v>45</v>
      </c>
      <c r="D18" s="2" t="s">
        <v>6</v>
      </c>
      <c r="E18" s="2" t="s">
        <v>18</v>
      </c>
      <c r="F18" s="2" t="s">
        <v>14</v>
      </c>
      <c r="G18" s="2" t="s">
        <v>3</v>
      </c>
      <c r="H18" s="2" t="s">
        <v>4</v>
      </c>
      <c r="I18" s="2" t="s">
        <v>4</v>
      </c>
      <c r="J18" s="2"/>
      <c r="K18" s="2"/>
      <c r="L18" s="2"/>
      <c r="M18" s="2"/>
      <c r="N18" s="2"/>
      <c r="O18" s="2" t="s">
        <v>10</v>
      </c>
    </row>
    <row r="19" spans="2:15">
      <c r="B19" s="1">
        <v>46013.961354166669</v>
      </c>
      <c r="C19" s="2" t="s">
        <v>46</v>
      </c>
      <c r="D19" s="2" t="s">
        <v>6</v>
      </c>
      <c r="E19" s="2" t="s">
        <v>47</v>
      </c>
      <c r="F19" s="2" t="s">
        <v>19</v>
      </c>
      <c r="G19" s="2" t="s">
        <v>9</v>
      </c>
      <c r="H19" s="2" t="s">
        <v>4</v>
      </c>
      <c r="I19" s="2" t="s">
        <v>4</v>
      </c>
      <c r="J19" s="2"/>
      <c r="K19" s="2"/>
      <c r="L19" s="2"/>
      <c r="M19" s="2"/>
      <c r="N19" s="2"/>
      <c r="O19" s="2" t="s">
        <v>31</v>
      </c>
    </row>
    <row r="20" spans="2:15">
      <c r="B20" s="1">
        <v>46014.011307870373</v>
      </c>
      <c r="C20" s="2" t="s">
        <v>48</v>
      </c>
      <c r="D20" s="2" t="s">
        <v>33</v>
      </c>
      <c r="E20" s="2" t="s">
        <v>25</v>
      </c>
      <c r="F20" s="2" t="s">
        <v>19</v>
      </c>
      <c r="G20" s="2" t="s">
        <v>15</v>
      </c>
      <c r="H20" s="2" t="s">
        <v>4</v>
      </c>
      <c r="I20" s="2" t="s">
        <v>4</v>
      </c>
      <c r="J20" s="2"/>
      <c r="K20" s="2"/>
      <c r="L20" s="2"/>
      <c r="M20" s="2"/>
      <c r="N20" s="2"/>
      <c r="O20" s="2" t="s">
        <v>31</v>
      </c>
    </row>
    <row r="21" spans="2:15">
      <c r="B21" s="1">
        <v>46014.011608796296</v>
      </c>
      <c r="C21" s="2" t="s">
        <v>49</v>
      </c>
      <c r="D21" s="2" t="s">
        <v>6</v>
      </c>
      <c r="E21" s="2" t="s">
        <v>25</v>
      </c>
      <c r="F21" s="2" t="s">
        <v>19</v>
      </c>
      <c r="G21" s="2" t="s">
        <v>9</v>
      </c>
      <c r="H21" s="2" t="s">
        <v>4</v>
      </c>
      <c r="I21" s="2" t="s">
        <v>4</v>
      </c>
      <c r="J21" s="2"/>
      <c r="K21" s="2"/>
      <c r="L21" s="2"/>
      <c r="M21" s="2"/>
      <c r="N21" s="2"/>
      <c r="O21" s="2" t="s">
        <v>31</v>
      </c>
    </row>
    <row r="22" spans="2:15">
      <c r="B22" s="1">
        <v>46014.014143518521</v>
      </c>
      <c r="C22" s="2" t="s">
        <v>50</v>
      </c>
      <c r="D22" s="2" t="s">
        <v>12</v>
      </c>
      <c r="E22" s="2" t="s">
        <v>25</v>
      </c>
      <c r="F22" s="2" t="s">
        <v>14</v>
      </c>
      <c r="G22" s="2" t="s">
        <v>9</v>
      </c>
      <c r="H22" s="2" t="s">
        <v>4</v>
      </c>
      <c r="I22" s="2" t="s">
        <v>4</v>
      </c>
      <c r="J22" s="2"/>
      <c r="K22" s="2"/>
      <c r="L22" s="2"/>
      <c r="M22" s="2"/>
      <c r="N22" s="2"/>
      <c r="O22" s="2" t="s">
        <v>20</v>
      </c>
    </row>
    <row r="23" spans="2:15">
      <c r="B23" s="1">
        <v>46014.119953703703</v>
      </c>
      <c r="C23" s="2" t="s">
        <v>51</v>
      </c>
      <c r="D23" s="2" t="s">
        <v>33</v>
      </c>
      <c r="E23" s="2" t="s">
        <v>35</v>
      </c>
      <c r="F23" s="2" t="s">
        <v>14</v>
      </c>
      <c r="G23" s="2" t="s">
        <v>15</v>
      </c>
      <c r="H23" s="2" t="s">
        <v>4</v>
      </c>
      <c r="I23" s="2" t="s">
        <v>52</v>
      </c>
      <c r="J23" s="2" t="s">
        <v>51</v>
      </c>
      <c r="K23" s="2" t="s">
        <v>53</v>
      </c>
      <c r="L23" s="2" t="s">
        <v>54</v>
      </c>
      <c r="M23" s="2" t="s">
        <v>29</v>
      </c>
      <c r="N23" s="2" t="s">
        <v>30</v>
      </c>
      <c r="O23" s="2" t="s">
        <v>31</v>
      </c>
    </row>
    <row r="24" spans="2:15">
      <c r="B24" s="1">
        <v>46014.455659722225</v>
      </c>
      <c r="C24" s="2" t="s">
        <v>55</v>
      </c>
      <c r="D24" s="2" t="s">
        <v>12</v>
      </c>
      <c r="E24" s="2" t="s">
        <v>56</v>
      </c>
      <c r="F24" s="2" t="s">
        <v>14</v>
      </c>
      <c r="G24" s="2" t="s">
        <v>9</v>
      </c>
      <c r="H24" s="2" t="s">
        <v>4</v>
      </c>
      <c r="I24" s="2" t="s">
        <v>4</v>
      </c>
      <c r="J24" s="2"/>
      <c r="K24" s="2"/>
      <c r="L24" s="2"/>
      <c r="M24" s="2"/>
      <c r="N24" s="2"/>
      <c r="O24" s="2" t="s">
        <v>57</v>
      </c>
    </row>
    <row r="25" spans="2:15">
      <c r="B25" s="1">
        <v>46014.557696759257</v>
      </c>
      <c r="C25" s="2" t="s">
        <v>58</v>
      </c>
      <c r="D25" s="2" t="s">
        <v>6</v>
      </c>
      <c r="E25" s="2" t="s">
        <v>35</v>
      </c>
      <c r="F25" s="2" t="s">
        <v>19</v>
      </c>
      <c r="G25" s="2" t="s">
        <v>9</v>
      </c>
      <c r="H25" s="2" t="s">
        <v>4</v>
      </c>
      <c r="I25" s="2" t="s">
        <v>4</v>
      </c>
      <c r="J25" s="2"/>
      <c r="K25" s="2"/>
      <c r="L25" s="2"/>
      <c r="M25" s="2"/>
      <c r="N25" s="2"/>
      <c r="O25" s="2" t="s">
        <v>16</v>
      </c>
    </row>
    <row r="26" spans="2:15">
      <c r="B26" s="1">
        <v>46014.786770833336</v>
      </c>
      <c r="C26" s="2" t="s">
        <v>59</v>
      </c>
      <c r="D26" s="2" t="s">
        <v>12</v>
      </c>
      <c r="E26" s="2" t="s">
        <v>25</v>
      </c>
      <c r="F26" s="2" t="s">
        <v>19</v>
      </c>
      <c r="G26" s="2" t="s">
        <v>9</v>
      </c>
      <c r="H26" s="2" t="s">
        <v>4</v>
      </c>
      <c r="I26" s="2" t="s">
        <v>4</v>
      </c>
      <c r="J26" s="2"/>
      <c r="K26" s="2"/>
      <c r="L26" s="2"/>
      <c r="M26" s="2"/>
      <c r="N26" s="2"/>
      <c r="O26" s="2" t="s">
        <v>36</v>
      </c>
    </row>
    <row r="27" spans="2:15">
      <c r="B27" s="1">
        <v>46017.040995370371</v>
      </c>
      <c r="C27" s="2" t="s">
        <v>60</v>
      </c>
      <c r="D27" s="2" t="s">
        <v>6</v>
      </c>
      <c r="E27" s="2" t="s">
        <v>25</v>
      </c>
      <c r="F27" s="2" t="s">
        <v>19</v>
      </c>
      <c r="G27" s="2" t="s">
        <v>15</v>
      </c>
      <c r="H27" s="2" t="s">
        <v>4</v>
      </c>
      <c r="I27" s="2" t="s">
        <v>4</v>
      </c>
      <c r="J27" s="2"/>
      <c r="K27" s="2"/>
      <c r="L27" s="2"/>
      <c r="M27" s="2"/>
      <c r="N27" s="2"/>
      <c r="O27" s="2" t="s">
        <v>10</v>
      </c>
    </row>
    <row r="28" spans="2:15">
      <c r="B28" s="1">
        <v>46018.657916666663</v>
      </c>
      <c r="C28" s="2" t="s">
        <v>61</v>
      </c>
      <c r="D28" s="2" t="s">
        <v>62</v>
      </c>
      <c r="E28" s="2" t="s">
        <v>18</v>
      </c>
      <c r="F28" s="2" t="s">
        <v>19</v>
      </c>
      <c r="G28" s="2" t="s">
        <v>9</v>
      </c>
      <c r="H28" s="2" t="s">
        <v>4</v>
      </c>
      <c r="I28" s="2" t="s">
        <v>4</v>
      </c>
      <c r="J28" s="2"/>
      <c r="K28" s="2"/>
      <c r="L28" s="2"/>
      <c r="M28" s="2"/>
      <c r="N28" s="2"/>
      <c r="O28" s="2" t="s">
        <v>16</v>
      </c>
    </row>
    <row r="29" spans="2:15">
      <c r="B29" s="1">
        <v>46018.664560185185</v>
      </c>
      <c r="C29" s="2" t="s">
        <v>63</v>
      </c>
      <c r="D29" s="2" t="s">
        <v>12</v>
      </c>
      <c r="E29" s="2" t="s">
        <v>47</v>
      </c>
      <c r="F29" s="2" t="s">
        <v>8</v>
      </c>
      <c r="G29" s="2" t="s">
        <v>9</v>
      </c>
      <c r="H29" s="2" t="s">
        <v>4</v>
      </c>
      <c r="I29" s="2" t="s">
        <v>4</v>
      </c>
      <c r="J29" s="2"/>
      <c r="K29" s="2"/>
      <c r="L29" s="2"/>
      <c r="M29" s="2"/>
      <c r="N29" s="2"/>
      <c r="O29" s="2" t="s">
        <v>20</v>
      </c>
    </row>
    <row r="30" spans="2:15">
      <c r="B30" s="1">
        <v>46018.667222222219</v>
      </c>
      <c r="C30" s="2" t="s">
        <v>64</v>
      </c>
      <c r="D30" s="2" t="s">
        <v>12</v>
      </c>
      <c r="E30" s="2" t="s">
        <v>65</v>
      </c>
      <c r="F30" s="2" t="s">
        <v>14</v>
      </c>
      <c r="G30" s="2" t="s">
        <v>9</v>
      </c>
      <c r="H30" s="2" t="s">
        <v>4</v>
      </c>
      <c r="I30" s="2" t="s">
        <v>4</v>
      </c>
      <c r="J30" s="2"/>
      <c r="K30" s="2"/>
      <c r="L30" s="2"/>
      <c r="M30" s="2"/>
      <c r="N30" s="2"/>
      <c r="O30" s="2" t="s">
        <v>20</v>
      </c>
    </row>
    <row r="31" spans="2:15">
      <c r="B31" s="1">
        <v>46018.683009259257</v>
      </c>
      <c r="C31" s="2" t="s">
        <v>66</v>
      </c>
      <c r="D31" s="2" t="s">
        <v>24</v>
      </c>
      <c r="E31" s="2" t="s">
        <v>18</v>
      </c>
      <c r="F31" s="2" t="s">
        <v>14</v>
      </c>
      <c r="G31" s="2" t="s">
        <v>67</v>
      </c>
      <c r="H31" s="2" t="s">
        <v>4</v>
      </c>
      <c r="I31" s="2" t="s">
        <v>4</v>
      </c>
      <c r="J31" s="2"/>
      <c r="K31" s="2"/>
      <c r="L31" s="2"/>
      <c r="M31" s="2"/>
      <c r="N31" s="2"/>
      <c r="O31" s="2" t="s">
        <v>36</v>
      </c>
    </row>
    <row r="32" spans="2:15">
      <c r="B32" s="1">
        <v>46018.744687500002</v>
      </c>
      <c r="C32" s="2" t="s">
        <v>68</v>
      </c>
      <c r="D32" s="2" t="s">
        <v>33</v>
      </c>
      <c r="E32" s="2" t="s">
        <v>25</v>
      </c>
      <c r="F32" s="2" t="s">
        <v>14</v>
      </c>
      <c r="G32" s="2" t="s">
        <v>9</v>
      </c>
      <c r="H32" s="2" t="s">
        <v>4</v>
      </c>
      <c r="I32" s="2" t="s">
        <v>4</v>
      </c>
      <c r="J32" s="2"/>
      <c r="K32" s="2"/>
      <c r="L32" s="2"/>
      <c r="M32" s="2"/>
      <c r="N32" s="2"/>
      <c r="O32" s="2" t="s">
        <v>31</v>
      </c>
    </row>
    <row r="33" spans="2:18">
      <c r="B33" s="1">
        <v>46018.811701388891</v>
      </c>
      <c r="C33" s="2" t="s">
        <v>69</v>
      </c>
      <c r="D33" s="2" t="s">
        <v>6</v>
      </c>
      <c r="E33" s="2" t="s">
        <v>41</v>
      </c>
      <c r="F33" s="2" t="s">
        <v>19</v>
      </c>
      <c r="G33" s="2" t="s">
        <v>9</v>
      </c>
      <c r="H33" s="2" t="s">
        <v>26</v>
      </c>
      <c r="I33" s="2"/>
      <c r="J33" s="2" t="s">
        <v>70</v>
      </c>
      <c r="K33" s="2" t="s">
        <v>71</v>
      </c>
      <c r="L33" s="2" t="s">
        <v>72</v>
      </c>
      <c r="M33" s="2" t="s">
        <v>29</v>
      </c>
      <c r="N33" s="2" t="s">
        <v>30</v>
      </c>
      <c r="O33" s="2" t="s">
        <v>31</v>
      </c>
    </row>
    <row r="34" spans="2:18">
      <c r="B34" s="1">
        <v>46018.885069444441</v>
      </c>
      <c r="C34" s="2" t="s">
        <v>73</v>
      </c>
      <c r="D34" s="2" t="s">
        <v>6</v>
      </c>
      <c r="E34" s="2" t="s">
        <v>18</v>
      </c>
      <c r="F34" s="2" t="s">
        <v>14</v>
      </c>
      <c r="G34" s="2" t="s">
        <v>67</v>
      </c>
      <c r="H34" s="2" t="s">
        <v>4</v>
      </c>
      <c r="I34" s="2" t="s">
        <v>4</v>
      </c>
      <c r="J34" s="2"/>
      <c r="K34" s="2"/>
      <c r="L34" s="2"/>
      <c r="M34" s="2"/>
      <c r="N34" s="2"/>
      <c r="O34" s="2" t="s">
        <v>10</v>
      </c>
    </row>
    <row r="35" spans="2:18">
      <c r="B35" s="1">
        <v>46018.937847222223</v>
      </c>
      <c r="C35" s="2" t="s">
        <v>74</v>
      </c>
      <c r="D35" s="2" t="s">
        <v>33</v>
      </c>
      <c r="E35" s="2" t="s">
        <v>35</v>
      </c>
      <c r="F35" s="2" t="s">
        <v>19</v>
      </c>
      <c r="G35" s="2" t="s">
        <v>3</v>
      </c>
      <c r="H35" s="2" t="s">
        <v>4</v>
      </c>
      <c r="I35" s="2" t="s">
        <v>4</v>
      </c>
      <c r="J35" s="2"/>
      <c r="K35" s="2"/>
      <c r="L35" s="2"/>
      <c r="M35" s="2"/>
      <c r="N35" s="2"/>
      <c r="O35" s="2" t="s">
        <v>16</v>
      </c>
    </row>
    <row r="36" spans="2:18">
      <c r="B36" s="1">
        <v>46018.990324074075</v>
      </c>
      <c r="C36" s="2" t="s">
        <v>75</v>
      </c>
      <c r="D36" s="2" t="s">
        <v>33</v>
      </c>
      <c r="E36" s="2" t="s">
        <v>35</v>
      </c>
      <c r="F36" s="2" t="s">
        <v>19</v>
      </c>
      <c r="G36" s="2" t="s">
        <v>9</v>
      </c>
      <c r="H36" s="2" t="s">
        <v>4</v>
      </c>
      <c r="I36" s="2" t="s">
        <v>4</v>
      </c>
      <c r="J36" s="2"/>
      <c r="K36" s="2"/>
      <c r="L36" s="2"/>
      <c r="M36" s="2"/>
      <c r="N36" s="2"/>
      <c r="O36" s="2" t="s">
        <v>31</v>
      </c>
    </row>
    <row r="37" spans="2:18">
      <c r="B37" s="1">
        <v>46018.990428240744</v>
      </c>
      <c r="C37" s="2" t="s">
        <v>76</v>
      </c>
      <c r="D37" s="2" t="s">
        <v>33</v>
      </c>
      <c r="E37" s="2" t="s">
        <v>35</v>
      </c>
      <c r="F37" s="2" t="s">
        <v>19</v>
      </c>
      <c r="G37" s="2" t="s">
        <v>9</v>
      </c>
      <c r="H37" s="2" t="s">
        <v>4</v>
      </c>
      <c r="I37" s="2" t="s">
        <v>4</v>
      </c>
      <c r="J37" s="2"/>
      <c r="K37" s="2"/>
      <c r="L37" s="2"/>
      <c r="M37" s="2"/>
      <c r="N37" s="2"/>
      <c r="O37" s="2" t="s">
        <v>20</v>
      </c>
    </row>
    <row r="38" spans="2:18">
      <c r="B38" s="1">
        <v>46020.900277777779</v>
      </c>
      <c r="C38" s="2" t="s">
        <v>77</v>
      </c>
      <c r="D38" s="2" t="s">
        <v>24</v>
      </c>
      <c r="E38" s="2" t="s">
        <v>22</v>
      </c>
      <c r="F38" s="2" t="s">
        <v>19</v>
      </c>
      <c r="G38" s="2" t="s">
        <v>15</v>
      </c>
      <c r="H38" s="2" t="s">
        <v>4</v>
      </c>
      <c r="I38" s="2" t="s">
        <v>4</v>
      </c>
      <c r="J38" s="2"/>
      <c r="K38" s="2"/>
      <c r="L38" s="2"/>
      <c r="M38" s="2"/>
      <c r="N38" s="2"/>
      <c r="O38" s="2" t="s">
        <v>16</v>
      </c>
    </row>
    <row r="42" spans="2:18">
      <c r="N42" s="2" t="s">
        <v>3</v>
      </c>
      <c r="Q42" t="s">
        <v>84</v>
      </c>
      <c r="R42">
        <f>COUNTIFS(N42:N76,"とても使ってみたいと思う")</f>
        <v>20</v>
      </c>
    </row>
    <row r="43" spans="2:18">
      <c r="E43" t="s">
        <v>78</v>
      </c>
      <c r="F43" t="s">
        <v>79</v>
      </c>
      <c r="N43" s="2" t="s">
        <v>9</v>
      </c>
      <c r="Q43" t="s">
        <v>85</v>
      </c>
      <c r="R43">
        <f>COUNTIFS(N42:N76,"使ってみたいと思う")</f>
        <v>8</v>
      </c>
    </row>
    <row r="44" spans="2:18">
      <c r="E44" s="2" t="s">
        <v>11</v>
      </c>
      <c r="F44" s="2" t="s">
        <v>14</v>
      </c>
      <c r="N44" s="2" t="s">
        <v>15</v>
      </c>
      <c r="Q44" t="s">
        <v>83</v>
      </c>
      <c r="R44">
        <f>COUNTIFS(N42:N76,"まあまあ使ってみたいと思う")</f>
        <v>5</v>
      </c>
    </row>
    <row r="45" spans="2:18">
      <c r="E45" s="2" t="s">
        <v>21</v>
      </c>
      <c r="F45" s="2" t="s">
        <v>14</v>
      </c>
      <c r="N45" s="2" t="s">
        <v>9</v>
      </c>
    </row>
    <row r="46" spans="2:18">
      <c r="E46" s="2" t="s">
        <v>39</v>
      </c>
      <c r="F46" s="2" t="s">
        <v>14</v>
      </c>
      <c r="N46" s="2" t="s">
        <v>15</v>
      </c>
    </row>
    <row r="47" spans="2:18">
      <c r="E47" s="2" t="s">
        <v>42</v>
      </c>
      <c r="F47" s="2" t="s">
        <v>14</v>
      </c>
      <c r="I47" t="s">
        <v>80</v>
      </c>
      <c r="J47">
        <f>COUNTIFS(F44:F56,"~10分")</f>
        <v>13</v>
      </c>
      <c r="N47" s="2" t="s">
        <v>3</v>
      </c>
      <c r="Q47">
        <f>SUM(R42:R44)</f>
        <v>33</v>
      </c>
    </row>
    <row r="48" spans="2:18">
      <c r="E48" s="2" t="s">
        <v>44</v>
      </c>
      <c r="F48" s="2" t="s">
        <v>14</v>
      </c>
      <c r="I48" t="s">
        <v>82</v>
      </c>
      <c r="J48">
        <f>COUNTIFS(F62:F77,"~30分")</f>
        <v>16</v>
      </c>
      <c r="N48" s="2" t="s">
        <v>3</v>
      </c>
      <c r="Q48" s="3">
        <f>R42/Q47</f>
        <v>0.60606060606060608</v>
      </c>
    </row>
    <row r="49" spans="5:14">
      <c r="E49" s="2" t="s">
        <v>45</v>
      </c>
      <c r="F49" s="2" t="s">
        <v>14</v>
      </c>
      <c r="I49" t="s">
        <v>81</v>
      </c>
      <c r="J49">
        <f>COUNTIFS(F57:F61,"~１時間")</f>
        <v>5</v>
      </c>
      <c r="N49" s="2" t="s">
        <v>9</v>
      </c>
    </row>
    <row r="50" spans="5:14">
      <c r="E50" s="2" t="s">
        <v>50</v>
      </c>
      <c r="F50" s="2" t="s">
        <v>14</v>
      </c>
      <c r="N50" s="2" t="s">
        <v>9</v>
      </c>
    </row>
    <row r="51" spans="5:14">
      <c r="E51" s="2" t="s">
        <v>51</v>
      </c>
      <c r="F51" s="2" t="s">
        <v>14</v>
      </c>
      <c r="N51" s="2" t="s">
        <v>9</v>
      </c>
    </row>
    <row r="52" spans="5:14">
      <c r="E52" s="2" t="s">
        <v>55</v>
      </c>
      <c r="F52" s="2" t="s">
        <v>14</v>
      </c>
      <c r="N52" s="2" t="s">
        <v>9</v>
      </c>
    </row>
    <row r="53" spans="5:14">
      <c r="E53" s="2" t="s">
        <v>64</v>
      </c>
      <c r="F53" s="2" t="s">
        <v>14</v>
      </c>
      <c r="N53" s="2" t="s">
        <v>15</v>
      </c>
    </row>
    <row r="54" spans="5:14">
      <c r="E54" s="2" t="s">
        <v>66</v>
      </c>
      <c r="F54" s="2" t="s">
        <v>14</v>
      </c>
      <c r="N54" s="2" t="s">
        <v>9</v>
      </c>
    </row>
    <row r="55" spans="5:14">
      <c r="E55" s="2" t="s">
        <v>68</v>
      </c>
      <c r="F55" s="2" t="s">
        <v>14</v>
      </c>
      <c r="N55" s="2" t="s">
        <v>15</v>
      </c>
    </row>
    <row r="56" spans="5:14">
      <c r="E56" s="2" t="s">
        <v>73</v>
      </c>
      <c r="F56" s="2" t="s">
        <v>14</v>
      </c>
      <c r="N56" s="2" t="s">
        <v>3</v>
      </c>
    </row>
    <row r="57" spans="5:14">
      <c r="E57" s="2" t="s">
        <v>5</v>
      </c>
      <c r="F57" s="2" t="s">
        <v>8</v>
      </c>
      <c r="N57" s="2" t="s">
        <v>9</v>
      </c>
    </row>
    <row r="58" spans="5:14">
      <c r="E58" s="2" t="s">
        <v>23</v>
      </c>
      <c r="F58" s="2" t="s">
        <v>8</v>
      </c>
      <c r="N58" s="2" t="s">
        <v>15</v>
      </c>
    </row>
    <row r="59" spans="5:14">
      <c r="E59" s="2" t="s">
        <v>32</v>
      </c>
      <c r="F59" s="2" t="s">
        <v>8</v>
      </c>
      <c r="N59" s="2" t="s">
        <v>9</v>
      </c>
    </row>
    <row r="60" spans="5:14">
      <c r="E60" s="2" t="s">
        <v>43</v>
      </c>
      <c r="F60" s="2" t="s">
        <v>8</v>
      </c>
      <c r="N60" s="2" t="s">
        <v>9</v>
      </c>
    </row>
    <row r="61" spans="5:14">
      <c r="E61" s="2" t="s">
        <v>63</v>
      </c>
      <c r="F61" s="2" t="s">
        <v>8</v>
      </c>
      <c r="N61" s="2" t="s">
        <v>15</v>
      </c>
    </row>
    <row r="62" spans="5:14">
      <c r="E62" s="2" t="s">
        <v>17</v>
      </c>
      <c r="F62" s="2" t="s">
        <v>19</v>
      </c>
      <c r="N62" s="2" t="s">
        <v>9</v>
      </c>
    </row>
    <row r="63" spans="5:14">
      <c r="E63" s="2" t="s">
        <v>34</v>
      </c>
      <c r="F63" s="2" t="s">
        <v>19</v>
      </c>
      <c r="N63" s="2" t="s">
        <v>9</v>
      </c>
    </row>
    <row r="64" spans="5:14">
      <c r="E64" s="2" t="s">
        <v>37</v>
      </c>
      <c r="F64" s="2" t="s">
        <v>19</v>
      </c>
      <c r="N64" s="2" t="s">
        <v>9</v>
      </c>
    </row>
    <row r="65" spans="5:14">
      <c r="E65" s="2" t="s">
        <v>40</v>
      </c>
      <c r="F65" s="2" t="s">
        <v>19</v>
      </c>
      <c r="N65" s="2" t="s">
        <v>15</v>
      </c>
    </row>
    <row r="66" spans="5:14">
      <c r="E66" s="2" t="s">
        <v>46</v>
      </c>
      <c r="F66" s="2" t="s">
        <v>19</v>
      </c>
      <c r="N66" s="2" t="s">
        <v>9</v>
      </c>
    </row>
    <row r="67" spans="5:14">
      <c r="E67" s="2" t="s">
        <v>48</v>
      </c>
      <c r="F67" s="2" t="s">
        <v>19</v>
      </c>
      <c r="N67" s="2" t="s">
        <v>9</v>
      </c>
    </row>
    <row r="68" spans="5:14">
      <c r="E68" s="2" t="s">
        <v>49</v>
      </c>
      <c r="F68" s="2" t="s">
        <v>19</v>
      </c>
      <c r="N68" s="2" t="s">
        <v>9</v>
      </c>
    </row>
    <row r="69" spans="5:14">
      <c r="E69" s="2" t="s">
        <v>58</v>
      </c>
      <c r="F69" s="2" t="s">
        <v>19</v>
      </c>
      <c r="N69" s="2" t="s">
        <v>67</v>
      </c>
    </row>
    <row r="70" spans="5:14">
      <c r="E70" s="2" t="s">
        <v>59</v>
      </c>
      <c r="F70" s="2" t="s">
        <v>19</v>
      </c>
      <c r="N70" s="2" t="s">
        <v>9</v>
      </c>
    </row>
    <row r="71" spans="5:14">
      <c r="E71" s="2" t="s">
        <v>60</v>
      </c>
      <c r="F71" s="2" t="s">
        <v>19</v>
      </c>
      <c r="N71" s="2" t="s">
        <v>9</v>
      </c>
    </row>
    <row r="72" spans="5:14">
      <c r="E72" s="2" t="s">
        <v>61</v>
      </c>
      <c r="F72" s="2" t="s">
        <v>19</v>
      </c>
      <c r="N72" s="2" t="s">
        <v>67</v>
      </c>
    </row>
    <row r="73" spans="5:14">
      <c r="E73" s="2" t="s">
        <v>69</v>
      </c>
      <c r="F73" s="2" t="s">
        <v>19</v>
      </c>
      <c r="N73" s="2" t="s">
        <v>3</v>
      </c>
    </row>
    <row r="74" spans="5:14">
      <c r="E74" s="2" t="s">
        <v>74</v>
      </c>
      <c r="F74" s="2" t="s">
        <v>19</v>
      </c>
      <c r="N74" s="2" t="s">
        <v>9</v>
      </c>
    </row>
    <row r="75" spans="5:14">
      <c r="E75" s="2" t="s">
        <v>75</v>
      </c>
      <c r="F75" s="2" t="s">
        <v>19</v>
      </c>
      <c r="N75" s="2" t="s">
        <v>9</v>
      </c>
    </row>
    <row r="76" spans="5:14">
      <c r="E76" s="2" t="s">
        <v>76</v>
      </c>
      <c r="F76" s="2" t="s">
        <v>19</v>
      </c>
      <c r="N76" s="2" t="s">
        <v>15</v>
      </c>
    </row>
    <row r="77" spans="5:14">
      <c r="E77" s="2" t="s">
        <v>77</v>
      </c>
      <c r="F77" s="2" t="s">
        <v>19</v>
      </c>
    </row>
  </sheetData>
  <autoFilter ref="E43:F77" xr:uid="{EA9C18FE-A222-B142-8298-97A1A7E80FA9}">
    <sortState xmlns:xlrd2="http://schemas.microsoft.com/office/spreadsheetml/2017/richdata2" ref="E44:F77">
      <sortCondition ref="F43:F77"/>
    </sortState>
  </autoFilter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　優渚</dc:creator>
  <cp:lastModifiedBy>内田　優渚</cp:lastModifiedBy>
  <dcterms:created xsi:type="dcterms:W3CDTF">2026-01-24T06:56:09Z</dcterms:created>
  <dcterms:modified xsi:type="dcterms:W3CDTF">2026-01-24T08:51:10Z</dcterms:modified>
</cp:coreProperties>
</file>